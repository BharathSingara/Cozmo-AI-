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ec5fda7aa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Targets" sheetId="1" r:id="Rf86eb8d50a8a46ab"/>
    <x:sheet xmlns:r="http://schemas.openxmlformats.org/officeDocument/2006/relationships" name="Books Ground Truth" sheetId="2" r:id="Rf1fadddb1732495b"/>
    <x:sheet xmlns:r="http://schemas.openxmlformats.org/officeDocument/2006/relationships" name="Spine Measurements" sheetId="3" r:id="R460f24dca2f14425"/>
    <x:sheet xmlns:r="http://schemas.openxmlformats.org/officeDocument/2006/relationships" name="Book Pricing" sheetId="4" r:id="R53ad79db17db4ccc"/>
    <x:sheet xmlns:r="http://schemas.openxmlformats.org/officeDocument/2006/relationships" name="Other Contents" sheetId="5" r:id="Rc367d01414fd4bbd"/>
    <x:sheet xmlns:r="http://schemas.openxmlformats.org/officeDocument/2006/relationships" name="Room Measurements" sheetId="6" r:id="Ra561fbf7e01842f7"/>
    <x:sheet xmlns:r="http://schemas.openxmlformats.org/officeDocument/2006/relationships" name="Second Country Prices" sheetId="7" r:id="R747d9f512a9e470f"/>
    <x:sheet xmlns:r="http://schemas.openxmlformats.org/officeDocument/2006/relationships" name="Collection Protocol" sheetId="8" r:id="R3ea22879e17b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84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3c3513f894d0e" /><Relationship Type="http://schemas.openxmlformats.org/officeDocument/2006/relationships/theme" Target="/xl/theme/theme1.xml" Id="Redf64a8a5e1c4d56" /><Relationship Type="http://schemas.openxmlformats.org/officeDocument/2006/relationships/sharedStrings" Target="/xl/sharedStrings.xml" Id="R149f936f211b4396" /><Relationship Type="http://schemas.openxmlformats.org/officeDocument/2006/relationships/worksheet" Target="/xl/worksheets/sheet1.xml" Id="Rf86eb8d50a8a46ab" /><Relationship Type="http://schemas.openxmlformats.org/officeDocument/2006/relationships/worksheet" Target="/xl/worksheets/sheet2.xml" Id="Rf1fadddb1732495b" /><Relationship Type="http://schemas.openxmlformats.org/officeDocument/2006/relationships/worksheet" Target="/xl/worksheets/sheet3.xml" Id="R460f24dca2f14425" /><Relationship Type="http://schemas.openxmlformats.org/officeDocument/2006/relationships/worksheet" Target="/xl/worksheets/sheet4.xml" Id="R53ad79db17db4ccc" /><Relationship Type="http://schemas.openxmlformats.org/officeDocument/2006/relationships/worksheet" Target="/xl/worksheets/sheet5.xml" Id="Rc367d01414fd4bbd" /><Relationship Type="http://schemas.openxmlformats.org/officeDocument/2006/relationships/worksheet" Target="/xl/worksheets/sheet6.xml" Id="Ra561fbf7e01842f7" /><Relationship Type="http://schemas.openxmlformats.org/officeDocument/2006/relationships/worksheet" Target="/xl/worksheets/sheet7.xml" Id="R747d9f512a9e470f" /><Relationship Type="http://schemas.openxmlformats.org/officeDocument/2006/relationships/worksheet" Target="/xl/worksheets/sheet8.xml" Id="R3ea22879e17b45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44" hidden="0" customWidth="1"/>
    <x:col min="4" max="4" width="18" hidden="0" customWidth="1"/>
    <x:col min="5" max="5" width="20" hidden="0" customWidth="1"/>
  </x:cols>
  <x:sheetData>
    <x:row r="1" ht="31" customHeight="1">
      <x:c r="A1" s="5" t="str">
        <x:v>Metric</x:v>
      </x:c>
      <x:c r="B1" s="5" t="str">
        <x:v>Client pass bar</x:v>
      </x:c>
      <x:c r="C1" s="5" t="str">
        <x:v>Evidence needed</x:v>
      </x:c>
      <x:c r="D1" s="5" t="str">
        <x:v>Actual result</x:v>
      </x:c>
      <x:c r="E1" s="5" t="str">
        <x:v>Pass status</x:v>
      </x:c>
    </x:row>
    <x:row r="2">
      <x:c r="A2" t="str">
        <x:v>Book count</x:v>
      </x:c>
      <x:c r="B2" t="str">
        <x:v>≤5% absolute error</x:v>
      </x:c>
      <x:c r="C2" t="str">
        <x:v>60+ independently counted books</x:v>
      </x:c>
      <x:c r="D2"/>
      <x:c r="E2" t="str">
        <x:v>NOT EVALUATED</x:v>
      </x:c>
    </x:row>
    <x:row r="3">
      <x:c r="A3" t="str">
        <x:v>Title identification</x:v>
      </x:c>
      <x:c r="B3" t="str">
        <x:v>≥70% correct</x:v>
      </x:c>
      <x:c r="C3" t="str">
        <x:v>All human-legible spines</x:v>
      </x:c>
      <x:c r="D3"/>
      <x:c r="E3" t="str">
        <x:v>NOT EVALUATED</x:v>
      </x:c>
    </x:row>
    <x:row r="4">
      <x:c r="A4" t="str">
        <x:v>Confidently incorrect titles</x:v>
      </x:c>
      <x:c r="B4" t="str">
        <x:v>≤3%</x:v>
      </x:c>
      <x:c r="C4" t="str">
        <x:v>Predictions above confidence threshold</x:v>
      </x:c>
      <x:c r="D4"/>
      <x:c r="E4" t="str">
        <x:v>NOT EVALUATED</x:v>
      </x:c>
    </x:row>
    <x:row r="5">
      <x:c r="A5" t="str">
        <x:v>Spine dimensions</x:v>
      </x:c>
      <x:c r="B5" t="str">
        <x:v>≤15% error</x:v>
      </x:c>
      <x:c r="C5" t="str">
        <x:v>20 tape-measured book spines</x:v>
      </x:c>
      <x:c r="D5"/>
      <x:c r="E5" t="str">
        <x:v>NOT EVALUATED</x:v>
      </x:c>
    </x:row>
    <x:row r="6">
      <x:c r="A6" t="str">
        <x:v>Book pricing</x:v>
      </x:c>
      <x:c r="B6" t="str">
        <x:v>≤25% error</x:v>
      </x:c>
      <x:c r="C6" t="str">
        <x:v>15 hand-checked prices</x:v>
      </x:c>
      <x:c r="D6"/>
      <x:c r="E6" t="str">
        <x:v>NOT EVALUATED</x:v>
      </x:c>
    </x:row>
    <x:row r="7">
      <x:c r="A7" t="str">
        <x:v>Non-book detection</x:v>
      </x:c>
      <x:c r="B7" t="str">
        <x:v>≥80% correctly categorized</x:v>
      </x:c>
      <x:c r="C7" t="str">
        <x:v>8+ independently verified objects</x:v>
      </x:c>
      <x:c r="D7"/>
      <x:c r="E7" t="str">
        <x:v>NOT EVALUATED</x:v>
      </x:c>
    </x:row>
    <x:row r="8">
      <x:c r="A8" t="str">
        <x:v>Floor area</x:v>
      </x:c>
      <x:c r="B8" t="str">
        <x:v>≤10% error</x:v>
      </x:c>
      <x:c r="C8" t="str">
        <x:v>Measured room geometry</x:v>
      </x:c>
      <x:c r="D8"/>
      <x:c r="E8" t="str">
        <x:v>NOT EVALUATED</x:v>
      </x:c>
    </x:row>
    <x:row r="9">
      <x:c r="A9" t="str">
        <x:v>Wall area</x:v>
      </x:c>
      <x:c r="B9" t="str">
        <x:v>≤15% error</x:v>
      </x:c>
      <x:c r="C9" t="str">
        <x:v>Measured room height and perimeter</x:v>
      </x:c>
      <x:c r="D9"/>
      <x:c r="E9" t="str">
        <x:v>NOT EVALUATED</x:v>
      </x:c>
    </x:row>
    <x:row r="10">
      <x:c r="A10" t="str">
        <x:v>Report generation</x:v>
      </x:c>
      <x:c r="B10" t="str">
        <x:v>&lt;5 min after sweep</x:v>
      </x:c>
      <x:c r="C10" t="str">
        <x:v>Actual live run latency</x:v>
      </x:c>
      <x:c r="D10"/>
      <x:c r="E10" t="str">
        <x:v>NOT EVALUATED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33" hidden="0" customWidth="1"/>
    <x:col min="5" max="5" width="24" hidden="0" customWidth="1"/>
    <x:col min="6" max="6" width="18" hidden="0" customWidth="1"/>
    <x:col min="7" max="7" width="18" hidden="0" customWidth="1"/>
    <x:col min="8" max="8" width="32" hidden="0" customWidth="1"/>
    <x:col min="9" max="9" width="17" hidden="0" customWidth="1"/>
    <x:col min="10" max="10" width="33" hidden="0" customWidth="1"/>
    <x:col min="11" max="11" width="17" hidden="0" customWidth="1"/>
    <x:col min="12" max="12" width="19" hidden="0" customWidth="1"/>
    <x:col min="13" max="13" width="21" hidden="0" customWidth="1"/>
    <x:col min="14" max="14" width="28" hidden="0" customWidth="1"/>
  </x:cols>
  <x:sheetData>
    <x:row r="1" ht="31" customHeight="1">
      <x:c r="A1" s="5" t="str">
        <x:v>GT Book #</x:v>
      </x:c>
      <x:c r="B1" s="5" t="str">
        <x:v>Shelf</x:v>
      </x:c>
      <x:c r="C1" s="5" t="str">
        <x:v>Position</x:v>
      </x:c>
      <x:c r="D1" s="5" t="str">
        <x:v>Hand-read title</x:v>
      </x:c>
      <x:c r="E1" s="5" t="str">
        <x:v>Author</x:v>
      </x:c>
      <x:c r="F1" s="5" t="str">
        <x:v>Human-legible Y/N</x:v>
      </x:c>
      <x:c r="G1" s="5" t="str">
        <x:v>Flat or stacked?</x:v>
      </x:c>
      <x:c r="H1" s="5" t="str">
        <x:v>Evidence frame</x:v>
      </x:c>
      <x:c r="I1" s="5" t="str">
        <x:v>Detected Y/N</x:v>
      </x:c>
      <x:c r="J1" s="5" t="str">
        <x:v>Predicted title</x:v>
      </x:c>
      <x:c r="K1" s="5" t="str">
        <x:v>ID confidence</x:v>
      </x:c>
      <x:c r="L1" s="5" t="str">
        <x:v>Title correct Y/N</x:v>
      </x:c>
      <x:c r="M1" s="5" t="str">
        <x:v>Confident wrong Y/N</x:v>
      </x:c>
      <x:c r="N1" s="5" t="str">
        <x:v>Notes</x:v>
      </x:c>
    </x:row>
    <x:row r="2">
      <x:c r="A2" t="n">
        <x:v>1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</x:row>
    <x:row r="3">
      <x:c r="A3" t="n">
        <x:v>2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 t="n">
        <x:v>3</x:v>
      </x:c>
      <x:c r="B4"/>
      <x:c r="C4"/>
      <x:c r="D4"/>
      <x:c r="E4"/>
      <x:c r="F4"/>
      <x:c r="G4"/>
      <x:c r="H4"/>
      <x:c r="I4"/>
      <x:c r="J4"/>
      <x:c r="K4"/>
      <x:c r="L4"/>
      <x:c r="M4"/>
      <x:c r="N4"/>
    </x:row>
    <x:row r="5">
      <x:c r="A5" t="n">
        <x:v>4</x:v>
      </x:c>
      <x:c r="B5"/>
      <x:c r="C5"/>
      <x:c r="D5"/>
      <x:c r="E5"/>
      <x:c r="F5"/>
      <x:c r="G5"/>
      <x:c r="H5"/>
      <x:c r="I5"/>
      <x:c r="J5"/>
      <x:c r="K5"/>
      <x:c r="L5"/>
      <x:c r="M5"/>
      <x:c r="N5"/>
    </x:row>
    <x:row r="6">
      <x:c r="A6" t="n">
        <x:v>5</x:v>
      </x:c>
      <x:c r="B6"/>
      <x:c r="C6"/>
      <x:c r="D6"/>
      <x:c r="E6"/>
      <x:c r="F6"/>
      <x:c r="G6"/>
      <x:c r="H6"/>
      <x:c r="I6"/>
      <x:c r="J6"/>
      <x:c r="K6"/>
      <x:c r="L6"/>
      <x:c r="M6"/>
      <x:c r="N6"/>
    </x:row>
    <x:row r="7">
      <x:c r="A7" t="n">
        <x:v>6</x:v>
      </x:c>
      <x:c r="B7"/>
      <x:c r="C7"/>
      <x:c r="D7"/>
      <x:c r="E7"/>
      <x:c r="F7"/>
      <x:c r="G7"/>
      <x:c r="H7"/>
      <x:c r="I7"/>
      <x:c r="J7"/>
      <x:c r="K7"/>
      <x:c r="L7"/>
      <x:c r="M7"/>
      <x:c r="N7"/>
    </x:row>
    <x:row r="8">
      <x:c r="A8" t="n">
        <x:v>7</x:v>
      </x:c>
      <x:c r="B8"/>
      <x:c r="C8"/>
      <x:c r="D8"/>
      <x:c r="E8"/>
      <x:c r="F8"/>
      <x:c r="G8"/>
      <x:c r="H8"/>
      <x:c r="I8"/>
      <x:c r="J8"/>
      <x:c r="K8"/>
      <x:c r="L8"/>
      <x:c r="M8"/>
      <x:c r="N8"/>
    </x:row>
    <x:row r="9">
      <x:c r="A9" t="n">
        <x:v>8</x:v>
      </x:c>
      <x:c r="B9"/>
      <x:c r="C9"/>
      <x:c r="D9"/>
      <x:c r="E9"/>
      <x:c r="F9"/>
      <x:c r="G9"/>
      <x:c r="H9"/>
      <x:c r="I9"/>
      <x:c r="J9"/>
      <x:c r="K9"/>
      <x:c r="L9"/>
      <x:c r="M9"/>
      <x:c r="N9"/>
    </x:row>
    <x:row r="10">
      <x:c r="A10" t="n">
        <x:v>9</x:v>
      </x:c>
      <x:c r="B10"/>
      <x:c r="C10"/>
      <x:c r="D10"/>
      <x:c r="E10"/>
      <x:c r="F10"/>
      <x:c r="G10"/>
      <x:c r="H10"/>
      <x:c r="I10"/>
      <x:c r="J10"/>
      <x:c r="K10"/>
      <x:c r="L10"/>
      <x:c r="M10"/>
      <x:c r="N10"/>
    </x:row>
    <x:row r="11">
      <x:c r="A11" t="n">
        <x:v>10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</x:row>
    <x:row r="12">
      <x:c r="A12" t="n">
        <x:v>11</x:v>
      </x:c>
      <x:c r="B12"/>
      <x:c r="C12"/>
      <x:c r="D12"/>
      <x:c r="E12"/>
      <x:c r="F12"/>
      <x:c r="G12"/>
      <x:c r="H12"/>
      <x:c r="I12"/>
      <x:c r="J12"/>
      <x:c r="K12"/>
      <x:c r="L12"/>
      <x:c r="M12"/>
      <x:c r="N12"/>
    </x:row>
    <x:row r="13">
      <x:c r="A13" t="n">
        <x:v>12</x:v>
      </x:c>
      <x:c r="B13"/>
      <x:c r="C13"/>
      <x:c r="D13"/>
      <x:c r="E13"/>
      <x:c r="F13"/>
      <x:c r="G13"/>
      <x:c r="H13"/>
      <x:c r="I13"/>
      <x:c r="J13"/>
      <x:c r="K13"/>
      <x:c r="L13"/>
      <x:c r="M13"/>
      <x:c r="N13"/>
    </x:row>
    <x:row r="14">
      <x:c r="A14" t="n">
        <x:v>13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>
      <x:c r="A15" t="n">
        <x:v>14</x:v>
      </x:c>
      <x:c r="B15"/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>
      <x:c r="A16" t="n">
        <x:v>15</x:v>
      </x:c>
      <x:c r="B16"/>
      <x:c r="C16"/>
      <x:c r="D16"/>
      <x:c r="E16"/>
      <x:c r="F16"/>
      <x:c r="G16"/>
      <x:c r="H16"/>
      <x:c r="I16"/>
      <x:c r="J16"/>
      <x:c r="K16"/>
      <x:c r="L16"/>
      <x:c r="M16"/>
      <x:c r="N16"/>
    </x:row>
    <x:row r="17">
      <x:c r="A17" t="n">
        <x:v>16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</x:row>
    <x:row r="18">
      <x:c r="A18" t="n">
        <x:v>17</x:v>
      </x:c>
      <x:c r="B18"/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>
      <x:c r="A19" t="n">
        <x:v>18</x:v>
      </x:c>
      <x:c r="B19"/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>
      <x:c r="A20" t="n">
        <x:v>19</x:v>
      </x:c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  <x:row r="21">
      <x:c r="A21" t="n">
        <x:v>20</x:v>
      </x:c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>
      <x:c r="A22" t="n">
        <x:v>21</x:v>
      </x:c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  <x:row r="23">
      <x:c r="A23" t="n">
        <x:v>22</x:v>
      </x:c>
      <x:c r="B23"/>
      <x:c r="C23"/>
      <x:c r="D23"/>
      <x:c r="E23"/>
      <x:c r="F23"/>
      <x:c r="G23"/>
      <x:c r="H23"/>
      <x:c r="I23"/>
      <x:c r="J23"/>
      <x:c r="K23"/>
      <x:c r="L23"/>
      <x:c r="M23"/>
      <x:c r="N23"/>
    </x:row>
    <x:row r="24">
      <x:c r="A24" t="n">
        <x:v>23</x:v>
      </x:c>
      <x:c r="B24"/>
      <x:c r="C24"/>
      <x:c r="D24"/>
      <x:c r="E24"/>
      <x:c r="F24"/>
      <x:c r="G24"/>
      <x:c r="H24"/>
      <x:c r="I24"/>
      <x:c r="J24"/>
      <x:c r="K24"/>
      <x:c r="L24"/>
      <x:c r="M24"/>
      <x:c r="N24"/>
    </x:row>
    <x:row r="25">
      <x:c r="A25" t="n">
        <x:v>24</x:v>
      </x:c>
      <x:c r="B25"/>
      <x:c r="C25"/>
      <x:c r="D25"/>
      <x:c r="E25"/>
      <x:c r="F25"/>
      <x:c r="G25"/>
      <x:c r="H25"/>
      <x:c r="I25"/>
      <x:c r="J25"/>
      <x:c r="K25"/>
      <x:c r="L25"/>
      <x:c r="M25"/>
      <x:c r="N25"/>
    </x:row>
    <x:row r="26">
      <x:c r="A26" t="n">
        <x:v>25</x:v>
      </x:c>
      <x:c r="B26"/>
      <x:c r="C26"/>
      <x:c r="D26"/>
      <x:c r="E26"/>
      <x:c r="F26"/>
      <x:c r="G26"/>
      <x:c r="H26"/>
      <x:c r="I26"/>
      <x:c r="J26"/>
      <x:c r="K26"/>
      <x:c r="L26"/>
      <x:c r="M26"/>
      <x:c r="N26"/>
    </x:row>
    <x:row r="27">
      <x:c r="A27" t="n">
        <x:v>26</x:v>
      </x:c>
      <x:c r="B27"/>
      <x:c r="C27"/>
      <x:c r="D27"/>
      <x:c r="E27"/>
      <x:c r="F27"/>
      <x:c r="G27"/>
      <x:c r="H27"/>
      <x:c r="I27"/>
      <x:c r="J27"/>
      <x:c r="K27"/>
      <x:c r="L27"/>
      <x:c r="M27"/>
      <x:c r="N27"/>
    </x:row>
    <x:row r="28">
      <x:c r="A28" t="n">
        <x:v>27</x:v>
      </x:c>
      <x:c r="B28"/>
      <x:c r="C28"/>
      <x:c r="D28"/>
      <x:c r="E28"/>
      <x:c r="F28"/>
      <x:c r="G28"/>
      <x:c r="H28"/>
      <x:c r="I28"/>
      <x:c r="J28"/>
      <x:c r="K28"/>
      <x:c r="L28"/>
      <x:c r="M28"/>
      <x:c r="N28"/>
    </x:row>
    <x:row r="29">
      <x:c r="A29" t="n">
        <x:v>28</x:v>
      </x:c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  <x:row r="30">
      <x:c r="A30" t="n">
        <x:v>29</x:v>
      </x:c>
      <x:c r="B30"/>
      <x:c r="C30"/>
      <x:c r="D30"/>
      <x:c r="E30"/>
      <x:c r="F30"/>
      <x:c r="G30"/>
      <x:c r="H30"/>
      <x:c r="I30"/>
      <x:c r="J30"/>
      <x:c r="K30"/>
      <x:c r="L30"/>
      <x:c r="M30"/>
      <x:c r="N30"/>
    </x:row>
    <x:row r="31">
      <x:c r="A31" t="n">
        <x:v>30</x:v>
      </x:c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  <x:row r="32">
      <x:c r="A32" t="n">
        <x:v>31</x:v>
      </x:c>
      <x:c r="B32"/>
      <x:c r="C32"/>
      <x:c r="D32"/>
      <x:c r="E32"/>
      <x:c r="F32"/>
      <x:c r="G32"/>
      <x:c r="H32"/>
      <x:c r="I32"/>
      <x:c r="J32"/>
      <x:c r="K32"/>
      <x:c r="L32"/>
      <x:c r="M32"/>
      <x:c r="N32"/>
    </x:row>
    <x:row r="33">
      <x:c r="A33" t="n">
        <x:v>32</x:v>
      </x:c>
      <x:c r="B33"/>
      <x:c r="C33"/>
      <x:c r="D33"/>
      <x:c r="E33"/>
      <x:c r="F33"/>
      <x:c r="G33"/>
      <x:c r="H33"/>
      <x:c r="I33"/>
      <x:c r="J33"/>
      <x:c r="K33"/>
      <x:c r="L33"/>
      <x:c r="M33"/>
      <x:c r="N33"/>
    </x:row>
    <x:row r="34">
      <x:c r="A34" t="n">
        <x:v>33</x:v>
      </x:c>
      <x:c r="B34"/>
      <x:c r="C34"/>
      <x:c r="D34"/>
      <x:c r="E34"/>
      <x:c r="F34"/>
      <x:c r="G34"/>
      <x:c r="H34"/>
      <x:c r="I34"/>
      <x:c r="J34"/>
      <x:c r="K34"/>
      <x:c r="L34"/>
      <x:c r="M34"/>
      <x:c r="N34"/>
    </x:row>
    <x:row r="35">
      <x:c r="A35" t="n">
        <x:v>34</x:v>
      </x:c>
      <x:c r="B35"/>
      <x:c r="C35"/>
      <x:c r="D35"/>
      <x:c r="E35"/>
      <x:c r="F35"/>
      <x:c r="G35"/>
      <x:c r="H35"/>
      <x:c r="I35"/>
      <x:c r="J35"/>
      <x:c r="K35"/>
      <x:c r="L35"/>
      <x:c r="M35"/>
      <x:c r="N35"/>
    </x:row>
    <x:row r="36">
      <x:c r="A36" t="n">
        <x:v>35</x:v>
      </x:c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  <x:row r="37">
      <x:c r="A37" t="n">
        <x:v>36</x:v>
      </x:c>
      <x:c r="B37"/>
      <x:c r="C37"/>
      <x:c r="D37"/>
      <x:c r="E37"/>
      <x:c r="F37"/>
      <x:c r="G37"/>
      <x:c r="H37"/>
      <x:c r="I37"/>
      <x:c r="J37"/>
      <x:c r="K37"/>
      <x:c r="L37"/>
      <x:c r="M37"/>
      <x:c r="N37"/>
    </x:row>
    <x:row r="38">
      <x:c r="A38" t="n">
        <x:v>37</x:v>
      </x:c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>
      <x:c r="A39" t="n">
        <x:v>38</x:v>
      </x:c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>
      <x:c r="A40" t="n">
        <x:v>39</x:v>
      </x:c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>
      <x:c r="A41" t="n">
        <x:v>40</x:v>
      </x:c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>
      <x:c r="A42" t="n">
        <x:v>41</x:v>
      </x:c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>
      <x:c r="A43" t="n">
        <x:v>42</x:v>
      </x:c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>
      <x:c r="A44" t="n">
        <x:v>43</x:v>
      </x:c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>
      <x:c r="A45" t="n">
        <x:v>44</x:v>
      </x:c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>
      <x:c r="A46" t="n">
        <x:v>45</x:v>
      </x:c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>
      <x:c r="A47" t="n">
        <x:v>46</x:v>
      </x:c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>
      <x:c r="A48" t="n">
        <x:v>47</x:v>
      </x:c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>
      <x:c r="A49" t="n">
        <x:v>48</x:v>
      </x:c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>
      <x:c r="A50" t="n">
        <x:v>49</x:v>
      </x:c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>
      <x:c r="A51" t="n">
        <x:v>50</x:v>
      </x:c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>
      <x:c r="A52" t="n">
        <x:v>51</x:v>
      </x:c>
      <x:c r="B52"/>
      <x:c r="C52"/>
      <x:c r="D52"/>
      <x:c r="E52"/>
      <x:c r="F52"/>
      <x:c r="G52"/>
      <x:c r="H52"/>
      <x:c r="I52"/>
      <x:c r="J52"/>
      <x:c r="K52"/>
      <x:c r="L52"/>
      <x:c r="M52"/>
      <x:c r="N52"/>
    </x:row>
    <x:row r="53">
      <x:c r="A53" t="n">
        <x:v>52</x:v>
      </x:c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  <x:row r="54">
      <x:c r="A54" t="n">
        <x:v>53</x:v>
      </x:c>
      <x:c r="B54"/>
      <x:c r="C54"/>
      <x:c r="D54"/>
      <x:c r="E54"/>
      <x:c r="F54"/>
      <x:c r="G54"/>
      <x:c r="H54"/>
      <x:c r="I54"/>
      <x:c r="J54"/>
      <x:c r="K54"/>
      <x:c r="L54"/>
      <x:c r="M54"/>
      <x:c r="N54"/>
    </x:row>
    <x:row r="55">
      <x:c r="A55" t="n">
        <x:v>54</x:v>
      </x:c>
      <x:c r="B55"/>
      <x:c r="C55"/>
      <x:c r="D55"/>
      <x:c r="E55"/>
      <x:c r="F55"/>
      <x:c r="G55"/>
      <x:c r="H55"/>
      <x:c r="I55"/>
      <x:c r="J55"/>
      <x:c r="K55"/>
      <x:c r="L55"/>
      <x:c r="M55"/>
      <x:c r="N55"/>
    </x:row>
    <x:row r="56">
      <x:c r="A56" t="n">
        <x:v>55</x:v>
      </x:c>
      <x:c r="B56"/>
      <x:c r="C56"/>
      <x:c r="D56"/>
      <x:c r="E56"/>
      <x:c r="F56"/>
      <x:c r="G56"/>
      <x:c r="H56"/>
      <x:c r="I56"/>
      <x:c r="J56"/>
      <x:c r="K56"/>
      <x:c r="L56"/>
      <x:c r="M56"/>
      <x:c r="N56"/>
    </x:row>
    <x:row r="57">
      <x:c r="A57" t="n">
        <x:v>56</x:v>
      </x:c>
      <x:c r="B57"/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>
      <x:c r="A58" t="n">
        <x:v>57</x:v>
      </x:c>
      <x:c r="B58"/>
      <x:c r="C58"/>
      <x:c r="D58"/>
      <x:c r="E58"/>
      <x:c r="F58"/>
      <x:c r="G58"/>
      <x:c r="H58"/>
      <x:c r="I58"/>
      <x:c r="J58"/>
      <x:c r="K58"/>
      <x:c r="L58"/>
      <x:c r="M58"/>
      <x:c r="N58"/>
    </x:row>
    <x:row r="59">
      <x:c r="A59" t="n">
        <x:v>58</x:v>
      </x:c>
      <x:c r="B59"/>
      <x:c r="C59"/>
      <x:c r="D59"/>
      <x:c r="E59"/>
      <x:c r="F59"/>
      <x:c r="G59"/>
      <x:c r="H59"/>
      <x:c r="I59"/>
      <x:c r="J59"/>
      <x:c r="K59"/>
      <x:c r="L59"/>
      <x:c r="M59"/>
      <x:c r="N59"/>
    </x:row>
    <x:row r="60">
      <x:c r="A60" t="n">
        <x:v>59</x:v>
      </x:c>
      <x:c r="B60"/>
      <x:c r="C60"/>
      <x:c r="D60"/>
      <x:c r="E60"/>
      <x:c r="F60"/>
      <x:c r="G60"/>
      <x:c r="H60"/>
      <x:c r="I60"/>
      <x:c r="J60"/>
      <x:c r="K60"/>
      <x:c r="L60"/>
      <x:c r="M60"/>
      <x:c r="N60"/>
    </x:row>
    <x:row r="61">
      <x:c r="A61" t="n">
        <x:v>60</x:v>
      </x:c>
      <x:c r="B61"/>
      <x:c r="C61"/>
      <x:c r="D61"/>
      <x:c r="E61"/>
      <x:c r="F61"/>
      <x:c r="G61"/>
      <x:c r="H61"/>
      <x:c r="I61"/>
      <x:c r="J61"/>
      <x:c r="K61"/>
      <x:c r="L61"/>
      <x:c r="M61"/>
      <x:c r="N6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0" hidden="0" customWidth="1"/>
    <x:col min="3" max="3" width="19" hidden="0" customWidth="1"/>
    <x:col min="4" max="4" width="22" hidden="0" customWidth="1"/>
    <x:col min="5" max="5" width="17" hidden="0" customWidth="1"/>
    <x:col min="6" max="6" width="15" hidden="0" customWidth="1"/>
    <x:col min="7" max="7" width="21" hidden="0" customWidth="1"/>
    <x:col min="8" max="8" width="22" hidden="0" customWidth="1"/>
    <x:col min="9" max="9" width="20" hidden="0" customWidth="1"/>
    <x:col min="10" max="10" width="18" hidden="0" customWidth="1"/>
    <x:col min="11" max="11" width="29" hidden="0" customWidth="1"/>
    <x:col min="12" max="12" width="32" hidden="0" customWidth="1"/>
  </x:cols>
  <x:sheetData>
    <x:row r="1" ht="31" customHeight="1">
      <x:c r="A1" s="5" t="str">
        <x:v>GT #</x:v>
      </x:c>
      <x:c r="B1" s="5" t="str">
        <x:v>Book #</x:v>
      </x:c>
      <x:c r="C1" s="5" t="str">
        <x:v>True height cm</x:v>
      </x:c>
      <x:c r="D1" s="5" t="str">
        <x:v>Measured height cm</x:v>
      </x:c>
      <x:c r="E1" s="5" t="str">
        <x:v>Height error %</x:v>
      </x:c>
      <x:c r="F1" s="5" t="str">
        <x:v>Height pass?</x:v>
      </x:c>
      <x:c r="G1" s="5" t="str">
        <x:v>True thickness cm</x:v>
      </x:c>
      <x:c r="H1" s="5" t="str">
        <x:v>Measured thickness cm</x:v>
      </x:c>
      <x:c r="I1" s="5" t="str">
        <x:v>Thickness error %</x:v>
      </x:c>
      <x:c r="J1" s="5" t="str">
        <x:v>Thickness pass?</x:v>
      </x:c>
      <x:c r="K1" s="5" t="str">
        <x:v>Measurement method</x:v>
      </x:c>
      <x:c r="L1" s="5" t="str">
        <x:v>Evidence</x:v>
      </x:c>
    </x:row>
    <x:row r="2">
      <x:c r="A2" t="n">
        <x:v>1</x:v>
      </x:c>
      <x:c r="B2"/>
      <x:c r="C2"/>
      <x:c r="D2"/>
      <x:c r="E2" s="10" t="str">
        <x:f>IF(OR(C2="",D2="",C2=0),"",ABS(D2-C2)/C2)</x:f>
      </x:c>
      <x:c r="F2" t="str">
        <x:f>IF(E2="","",IF(E2&lt;=0.15,"PASS","FAIL"))</x:f>
      </x:c>
      <x:c r="G2"/>
      <x:c r="H2"/>
      <x:c r="I2" s="10" t="str">
        <x:f>IF(OR(G2="",H2="",G2=0),"",ABS(H2-G2)/G2)</x:f>
      </x:c>
      <x:c r="J2" t="str">
        <x:f>IF(I2="","",IF(I2&lt;=0.15,"PASS","FAIL"))</x:f>
      </x:c>
      <x:c r="K2"/>
      <x:c r="L2"/>
    </x:row>
    <x:row r="3">
      <x:c r="A3" t="n">
        <x:v>2</x:v>
      </x:c>
      <x:c r="B3"/>
      <x:c r="C3"/>
      <x:c r="D3"/>
      <x:c r="E3" s="10" t="str">
        <x:f>IF(OR(C3="",D3="",C3=0),"",ABS(D3-C3)/C3)</x:f>
      </x:c>
      <x:c r="F3" t="str">
        <x:f>IF(E3="","",IF(E3&lt;=0.15,"PASS","FAIL"))</x:f>
      </x:c>
      <x:c r="G3"/>
      <x:c r="H3"/>
      <x:c r="I3" s="10" t="str">
        <x:f>IF(OR(G3="",H3="",G3=0),"",ABS(H3-G3)/G3)</x:f>
      </x:c>
      <x:c r="J3" t="str">
        <x:f>IF(I3="","",IF(I3&lt;=0.15,"PASS","FAIL"))</x:f>
      </x:c>
      <x:c r="K3"/>
      <x:c r="L3"/>
    </x:row>
    <x:row r="4">
      <x:c r="A4" t="n">
        <x:v>3</x:v>
      </x:c>
      <x:c r="B4"/>
      <x:c r="C4"/>
      <x:c r="D4"/>
      <x:c r="E4" s="10" t="str">
        <x:f>IF(OR(C4="",D4="",C4=0),"",ABS(D4-C4)/C4)</x:f>
      </x:c>
      <x:c r="F4" t="str">
        <x:f>IF(E4="","",IF(E4&lt;=0.15,"PASS","FAIL"))</x:f>
      </x:c>
      <x:c r="G4"/>
      <x:c r="H4"/>
      <x:c r="I4" s="10" t="str">
        <x:f>IF(OR(G4="",H4="",G4=0),"",ABS(H4-G4)/G4)</x:f>
      </x:c>
      <x:c r="J4" t="str">
        <x:f>IF(I4="","",IF(I4&lt;=0.15,"PASS","FAIL"))</x:f>
      </x:c>
      <x:c r="K4"/>
      <x:c r="L4"/>
    </x:row>
    <x:row r="5">
      <x:c r="A5" t="n">
        <x:v>4</x:v>
      </x:c>
      <x:c r="B5"/>
      <x:c r="C5"/>
      <x:c r="D5"/>
      <x:c r="E5" s="10" t="str">
        <x:f>IF(OR(C5="",D5="",C5=0),"",ABS(D5-C5)/C5)</x:f>
      </x:c>
      <x:c r="F5" t="str">
        <x:f>IF(E5="","",IF(E5&lt;=0.15,"PASS","FAIL"))</x:f>
      </x:c>
      <x:c r="G5"/>
      <x:c r="H5"/>
      <x:c r="I5" s="10" t="str">
        <x:f>IF(OR(G5="",H5="",G5=0),"",ABS(H5-G5)/G5)</x:f>
      </x:c>
      <x:c r="J5" t="str">
        <x:f>IF(I5="","",IF(I5&lt;=0.15,"PASS","FAIL"))</x:f>
      </x:c>
      <x:c r="K5"/>
      <x:c r="L5"/>
    </x:row>
    <x:row r="6">
      <x:c r="A6" t="n">
        <x:v>5</x:v>
      </x:c>
      <x:c r="B6"/>
      <x:c r="C6"/>
      <x:c r="D6"/>
      <x:c r="E6" s="10" t="str">
        <x:f>IF(OR(C6="",D6="",C6=0),"",ABS(D6-C6)/C6)</x:f>
      </x:c>
      <x:c r="F6" t="str">
        <x:f>IF(E6="","",IF(E6&lt;=0.15,"PASS","FAIL"))</x:f>
      </x:c>
      <x:c r="G6"/>
      <x:c r="H6"/>
      <x:c r="I6" s="10" t="str">
        <x:f>IF(OR(G6="",H6="",G6=0),"",ABS(H6-G6)/G6)</x:f>
      </x:c>
      <x:c r="J6" t="str">
        <x:f>IF(I6="","",IF(I6&lt;=0.15,"PASS","FAIL"))</x:f>
      </x:c>
      <x:c r="K6"/>
      <x:c r="L6"/>
    </x:row>
    <x:row r="7">
      <x:c r="A7" t="n">
        <x:v>6</x:v>
      </x:c>
      <x:c r="B7"/>
      <x:c r="C7"/>
      <x:c r="D7"/>
      <x:c r="E7" s="10" t="str">
        <x:f>IF(OR(C7="",D7="",C7=0),"",ABS(D7-C7)/C7)</x:f>
      </x:c>
      <x:c r="F7" t="str">
        <x:f>IF(E7="","",IF(E7&lt;=0.15,"PASS","FAIL"))</x:f>
      </x:c>
      <x:c r="G7"/>
      <x:c r="H7"/>
      <x:c r="I7" s="10" t="str">
        <x:f>IF(OR(G7="",H7="",G7=0),"",ABS(H7-G7)/G7)</x:f>
      </x:c>
      <x:c r="J7" t="str">
        <x:f>IF(I7="","",IF(I7&lt;=0.15,"PASS","FAIL"))</x:f>
      </x:c>
      <x:c r="K7"/>
      <x:c r="L7"/>
    </x:row>
    <x:row r="8">
      <x:c r="A8" t="n">
        <x:v>7</x:v>
      </x:c>
      <x:c r="B8"/>
      <x:c r="C8"/>
      <x:c r="D8"/>
      <x:c r="E8" s="10" t="str">
        <x:f>IF(OR(C8="",D8="",C8=0),"",ABS(D8-C8)/C8)</x:f>
      </x:c>
      <x:c r="F8" t="str">
        <x:f>IF(E8="","",IF(E8&lt;=0.15,"PASS","FAIL"))</x:f>
      </x:c>
      <x:c r="G8"/>
      <x:c r="H8"/>
      <x:c r="I8" s="10" t="str">
        <x:f>IF(OR(G8="",H8="",G8=0),"",ABS(H8-G8)/G8)</x:f>
      </x:c>
      <x:c r="J8" t="str">
        <x:f>IF(I8="","",IF(I8&lt;=0.15,"PASS","FAIL"))</x:f>
      </x:c>
      <x:c r="K8"/>
      <x:c r="L8"/>
    </x:row>
    <x:row r="9">
      <x:c r="A9" t="n">
        <x:v>8</x:v>
      </x:c>
      <x:c r="B9"/>
      <x:c r="C9"/>
      <x:c r="D9"/>
      <x:c r="E9" s="10" t="str">
        <x:f>IF(OR(C9="",D9="",C9=0),"",ABS(D9-C9)/C9)</x:f>
      </x:c>
      <x:c r="F9" t="str">
        <x:f>IF(E9="","",IF(E9&lt;=0.15,"PASS","FAIL"))</x:f>
      </x:c>
      <x:c r="G9"/>
      <x:c r="H9"/>
      <x:c r="I9" s="10" t="str">
        <x:f>IF(OR(G9="",H9="",G9=0),"",ABS(H9-G9)/G9)</x:f>
      </x:c>
      <x:c r="J9" t="str">
        <x:f>IF(I9="","",IF(I9&lt;=0.15,"PASS","FAIL"))</x:f>
      </x:c>
      <x:c r="K9"/>
      <x:c r="L9"/>
    </x:row>
    <x:row r="10">
      <x:c r="A10" t="n">
        <x:v>9</x:v>
      </x:c>
      <x:c r="B10"/>
      <x:c r="C10"/>
      <x:c r="D10"/>
      <x:c r="E10" s="10" t="str">
        <x:f>IF(OR(C10="",D10="",C10=0),"",ABS(D10-C10)/C10)</x:f>
      </x:c>
      <x:c r="F10" t="str">
        <x:f>IF(E10="","",IF(E10&lt;=0.15,"PASS","FAIL"))</x:f>
      </x:c>
      <x:c r="G10"/>
      <x:c r="H10"/>
      <x:c r="I10" s="10" t="str">
        <x:f>IF(OR(G10="",H10="",G10=0),"",ABS(H10-G10)/G10)</x:f>
      </x:c>
      <x:c r="J10" t="str">
        <x:f>IF(I10="","",IF(I10&lt;=0.15,"PASS","FAIL"))</x:f>
      </x:c>
      <x:c r="K10"/>
      <x:c r="L10"/>
    </x:row>
    <x:row r="11">
      <x:c r="A11" t="n">
        <x:v>10</x:v>
      </x:c>
      <x:c r="B11"/>
      <x:c r="C11"/>
      <x:c r="D11"/>
      <x:c r="E11" s="10" t="str">
        <x:f>IF(OR(C11="",D11="",C11=0),"",ABS(D11-C11)/C11)</x:f>
      </x:c>
      <x:c r="F11" t="str">
        <x:f>IF(E11="","",IF(E11&lt;=0.15,"PASS","FAIL"))</x:f>
      </x:c>
      <x:c r="G11"/>
      <x:c r="H11"/>
      <x:c r="I11" s="10" t="str">
        <x:f>IF(OR(G11="",H11="",G11=0),"",ABS(H11-G11)/G11)</x:f>
      </x:c>
      <x:c r="J11" t="str">
        <x:f>IF(I11="","",IF(I11&lt;=0.15,"PASS","FAIL"))</x:f>
      </x:c>
      <x:c r="K11"/>
      <x:c r="L11"/>
    </x:row>
    <x:row r="12">
      <x:c r="A12" t="n">
        <x:v>11</x:v>
      </x:c>
      <x:c r="B12"/>
      <x:c r="C12"/>
      <x:c r="D12"/>
      <x:c r="E12" s="10" t="str">
        <x:f>IF(OR(C12="",D12="",C12=0),"",ABS(D12-C12)/C12)</x:f>
      </x:c>
      <x:c r="F12" t="str">
        <x:f>IF(E12="","",IF(E12&lt;=0.15,"PASS","FAIL"))</x:f>
      </x:c>
      <x:c r="G12"/>
      <x:c r="H12"/>
      <x:c r="I12" s="10" t="str">
        <x:f>IF(OR(G12="",H12="",G12=0),"",ABS(H12-G12)/G12)</x:f>
      </x:c>
      <x:c r="J12" t="str">
        <x:f>IF(I12="","",IF(I12&lt;=0.15,"PASS","FAIL"))</x:f>
      </x:c>
      <x:c r="K12"/>
      <x:c r="L12"/>
    </x:row>
    <x:row r="13">
      <x:c r="A13" t="n">
        <x:v>12</x:v>
      </x:c>
      <x:c r="B13"/>
      <x:c r="C13"/>
      <x:c r="D13"/>
      <x:c r="E13" s="10" t="str">
        <x:f>IF(OR(C13="",D13="",C13=0),"",ABS(D13-C13)/C13)</x:f>
      </x:c>
      <x:c r="F13" t="str">
        <x:f>IF(E13="","",IF(E13&lt;=0.15,"PASS","FAIL"))</x:f>
      </x:c>
      <x:c r="G13"/>
      <x:c r="H13"/>
      <x:c r="I13" s="10" t="str">
        <x:f>IF(OR(G13="",H13="",G13=0),"",ABS(H13-G13)/G13)</x:f>
      </x:c>
      <x:c r="J13" t="str">
        <x:f>IF(I13="","",IF(I13&lt;=0.15,"PASS","FAIL"))</x:f>
      </x:c>
      <x:c r="K13"/>
      <x:c r="L13"/>
    </x:row>
    <x:row r="14">
      <x:c r="A14" t="n">
        <x:v>13</x:v>
      </x:c>
      <x:c r="B14"/>
      <x:c r="C14"/>
      <x:c r="D14"/>
      <x:c r="E14" s="10" t="str">
        <x:f>IF(OR(C14="",D14="",C14=0),"",ABS(D14-C14)/C14)</x:f>
      </x:c>
      <x:c r="F14" t="str">
        <x:f>IF(E14="","",IF(E14&lt;=0.15,"PASS","FAIL"))</x:f>
      </x:c>
      <x:c r="G14"/>
      <x:c r="H14"/>
      <x:c r="I14" s="10" t="str">
        <x:f>IF(OR(G14="",H14="",G14=0),"",ABS(H14-G14)/G14)</x:f>
      </x:c>
      <x:c r="J14" t="str">
        <x:f>IF(I14="","",IF(I14&lt;=0.15,"PASS","FAIL"))</x:f>
      </x:c>
      <x:c r="K14"/>
      <x:c r="L14"/>
    </x:row>
    <x:row r="15">
      <x:c r="A15" t="n">
        <x:v>14</x:v>
      </x:c>
      <x:c r="B15"/>
      <x:c r="C15"/>
      <x:c r="D15"/>
      <x:c r="E15" s="10" t="str">
        <x:f>IF(OR(C15="",D15="",C15=0),"",ABS(D15-C15)/C15)</x:f>
      </x:c>
      <x:c r="F15" t="str">
        <x:f>IF(E15="","",IF(E15&lt;=0.15,"PASS","FAIL"))</x:f>
      </x:c>
      <x:c r="G15"/>
      <x:c r="H15"/>
      <x:c r="I15" s="10" t="str">
        <x:f>IF(OR(G15="",H15="",G15=0),"",ABS(H15-G15)/G15)</x:f>
      </x:c>
      <x:c r="J15" t="str">
        <x:f>IF(I15="","",IF(I15&lt;=0.15,"PASS","FAIL"))</x:f>
      </x:c>
      <x:c r="K15"/>
      <x:c r="L15"/>
    </x:row>
    <x:row r="16">
      <x:c r="A16" t="n">
        <x:v>15</x:v>
      </x:c>
      <x:c r="B16"/>
      <x:c r="C16"/>
      <x:c r="D16"/>
      <x:c r="E16" s="10" t="str">
        <x:f>IF(OR(C16="",D16="",C16=0),"",ABS(D16-C16)/C16)</x:f>
      </x:c>
      <x:c r="F16" t="str">
        <x:f>IF(E16="","",IF(E16&lt;=0.15,"PASS","FAIL"))</x:f>
      </x:c>
      <x:c r="G16"/>
      <x:c r="H16"/>
      <x:c r="I16" s="10" t="str">
        <x:f>IF(OR(G16="",H16="",G16=0),"",ABS(H16-G16)/G16)</x:f>
      </x:c>
      <x:c r="J16" t="str">
        <x:f>IF(I16="","",IF(I16&lt;=0.15,"PASS","FAIL"))</x:f>
      </x:c>
      <x:c r="K16"/>
      <x:c r="L16"/>
    </x:row>
    <x:row r="17">
      <x:c r="A17" t="n">
        <x:v>16</x:v>
      </x:c>
      <x:c r="B17"/>
      <x:c r="C17"/>
      <x:c r="D17"/>
      <x:c r="E17" s="10" t="str">
        <x:f>IF(OR(C17="",D17="",C17=0),"",ABS(D17-C17)/C17)</x:f>
      </x:c>
      <x:c r="F17" t="str">
        <x:f>IF(E17="","",IF(E17&lt;=0.15,"PASS","FAIL"))</x:f>
      </x:c>
      <x:c r="G17"/>
      <x:c r="H17"/>
      <x:c r="I17" s="10" t="str">
        <x:f>IF(OR(G17="",H17="",G17=0),"",ABS(H17-G17)/G17)</x:f>
      </x:c>
      <x:c r="J17" t="str">
        <x:f>IF(I17="","",IF(I17&lt;=0.15,"PASS","FAIL"))</x:f>
      </x:c>
      <x:c r="K17"/>
      <x:c r="L17"/>
    </x:row>
    <x:row r="18">
      <x:c r="A18" t="n">
        <x:v>17</x:v>
      </x:c>
      <x:c r="B18"/>
      <x:c r="C18"/>
      <x:c r="D18"/>
      <x:c r="E18" s="10" t="str">
        <x:f>IF(OR(C18="",D18="",C18=0),"",ABS(D18-C18)/C18)</x:f>
      </x:c>
      <x:c r="F18" t="str">
        <x:f>IF(E18="","",IF(E18&lt;=0.15,"PASS","FAIL"))</x:f>
      </x:c>
      <x:c r="G18"/>
      <x:c r="H18"/>
      <x:c r="I18" s="10" t="str">
        <x:f>IF(OR(G18="",H18="",G18=0),"",ABS(H18-G18)/G18)</x:f>
      </x:c>
      <x:c r="J18" t="str">
        <x:f>IF(I18="","",IF(I18&lt;=0.15,"PASS","FAIL"))</x:f>
      </x:c>
      <x:c r="K18"/>
      <x:c r="L18"/>
    </x:row>
    <x:row r="19">
      <x:c r="A19" t="n">
        <x:v>18</x:v>
      </x:c>
      <x:c r="B19"/>
      <x:c r="C19"/>
      <x:c r="D19"/>
      <x:c r="E19" s="10" t="str">
        <x:f>IF(OR(C19="",D19="",C19=0),"",ABS(D19-C19)/C19)</x:f>
      </x:c>
      <x:c r="F19" t="str">
        <x:f>IF(E19="","",IF(E19&lt;=0.15,"PASS","FAIL"))</x:f>
      </x:c>
      <x:c r="G19"/>
      <x:c r="H19"/>
      <x:c r="I19" s="10" t="str">
        <x:f>IF(OR(G19="",H19="",G19=0),"",ABS(H19-G19)/G19)</x:f>
      </x:c>
      <x:c r="J19" t="str">
        <x:f>IF(I19="","",IF(I19&lt;=0.15,"PASS","FAIL"))</x:f>
      </x:c>
      <x:c r="K19"/>
      <x:c r="L19"/>
    </x:row>
    <x:row r="20">
      <x:c r="A20" t="n">
        <x:v>19</x:v>
      </x:c>
      <x:c r="B20"/>
      <x:c r="C20"/>
      <x:c r="D20"/>
      <x:c r="E20" s="10" t="str">
        <x:f>IF(OR(C20="",D20="",C20=0),"",ABS(D20-C20)/C20)</x:f>
      </x:c>
      <x:c r="F20" t="str">
        <x:f>IF(E20="","",IF(E20&lt;=0.15,"PASS","FAIL"))</x:f>
      </x:c>
      <x:c r="G20"/>
      <x:c r="H20"/>
      <x:c r="I20" s="10" t="str">
        <x:f>IF(OR(G20="",H20="",G20=0),"",ABS(H20-G20)/G20)</x:f>
      </x:c>
      <x:c r="J20" t="str">
        <x:f>IF(I20="","",IF(I20&lt;=0.15,"PASS","FAIL"))</x:f>
      </x:c>
      <x:c r="K20"/>
      <x:c r="L20"/>
    </x:row>
    <x:row r="21">
      <x:c r="A21" t="n">
        <x:v>20</x:v>
      </x:c>
      <x:c r="B21"/>
      <x:c r="C21"/>
      <x:c r="D21"/>
      <x:c r="E21" s="10" t="str">
        <x:f>IF(OR(C21="",D21="",C21=0),"",ABS(D21-C21)/C21)</x:f>
      </x:c>
      <x:c r="F21" t="str">
        <x:f>IF(E21="","",IF(E21&lt;=0.15,"PASS","FAIL"))</x:f>
      </x:c>
      <x:c r="G21"/>
      <x:c r="H21"/>
      <x:c r="I21" s="10" t="str">
        <x:f>IF(OR(G21="",H21="",G21=0),"",ABS(H21-G21)/G21)</x:f>
      </x:c>
      <x:c r="J21" t="str">
        <x:f>IF(I21="","",IF(I21&lt;=0.15,"PASS","FAIL"))</x:f>
      </x:c>
      <x:c r="K21"/>
      <x:c r="L2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15" hidden="0" customWidth="1"/>
    <x:col min="8" max="8" width="15" hidden="0" customWidth="1"/>
    <x:col min="9" max="9" width="36" hidden="0" customWidth="1"/>
    <x:col min="10" max="10" width="20" hidden="0" customWidth="1"/>
    <x:col min="11" max="11" width="20" hidden="0" customWidth="1"/>
    <x:col min="12" max="12" width="15" hidden="0" customWidth="1"/>
    <x:col min="13" max="13" width="15" hidden="0" customWidth="1"/>
    <x:col min="14" max="14" width="36" hidden="0" customWidth="1"/>
    <x:col min="15" max="15" width="32" hidden="0" customWidth="1"/>
  </x:cols>
  <x:sheetData>
    <x:row r="1" ht="31" customHeight="1">
      <x:c r="A1" s="5" t="str">
        <x:v>GT #</x:v>
      </x:c>
      <x:c r="B1" s="5" t="str">
        <x:v>Book #</x:v>
      </x:c>
      <x:c r="C1" s="5" t="str">
        <x:v>Country</x:v>
      </x:c>
      <x:c r="D1" s="5" t="str">
        <x:v>Currency</x:v>
      </x:c>
      <x:c r="E1" s="5" t="str">
        <x:v>Hand-price new</x:v>
      </x:c>
      <x:c r="F1" s="5" t="str">
        <x:v>Predicted new</x:v>
      </x:c>
      <x:c r="G1" s="5" t="str">
        <x:v>New error %</x:v>
      </x:c>
      <x:c r="H1" s="5" t="str">
        <x:v>New pass?</x:v>
      </x:c>
      <x:c r="I1" s="5" t="str">
        <x:v>New source URL</x:v>
      </x:c>
      <x:c r="J1" s="5" t="str">
        <x:v>Hand-price used</x:v>
      </x:c>
      <x:c r="K1" s="5" t="str">
        <x:v>Predicted used</x:v>
      </x:c>
      <x:c r="L1" s="5" t="str">
        <x:v>Used error %</x:v>
      </x:c>
      <x:c r="M1" s="5" t="str">
        <x:v>Used pass?</x:v>
      </x:c>
      <x:c r="N1" s="5" t="str">
        <x:v>Used source URL</x:v>
      </x:c>
      <x:c r="O1" s="5" t="str">
        <x:v>Evidence</x:v>
      </x:c>
    </x:row>
    <x:row r="2">
      <x:c r="A2" t="n">
        <x:v>1</x:v>
      </x:c>
      <x:c r="B2"/>
      <x:c r="C2"/>
      <x:c r="D2"/>
      <x:c r="E2"/>
      <x:c r="F2"/>
      <x:c r="G2" s="10" t="str">
        <x:f>IF(OR(E2="",F2="",E2=0),"",ABS(F2-E2)/E2)</x:f>
      </x:c>
      <x:c r="H2" t="str">
        <x:f>IF(G2="","",IF(G2&lt;=0.25,"PASS","FAIL"))</x:f>
      </x:c>
      <x:c r="I2"/>
      <x:c r="J2"/>
      <x:c r="K2"/>
      <x:c r="L2" s="10" t="str">
        <x:f>IF(OR(J2="",K2="",J2=0),"",ABS(K2-J2)/J2)</x:f>
      </x:c>
      <x:c r="M2" t="str">
        <x:f>IF(L2="","",IF(L2&lt;=0.25,"PASS","FAIL"))</x:f>
      </x:c>
      <x:c r="N2"/>
      <x:c r="O2"/>
    </x:row>
    <x:row r="3">
      <x:c r="A3" t="n">
        <x:v>2</x:v>
      </x:c>
      <x:c r="B3"/>
      <x:c r="C3"/>
      <x:c r="D3"/>
      <x:c r="E3"/>
      <x:c r="F3"/>
      <x:c r="G3" s="10" t="str">
        <x:f>IF(OR(E3="",F3="",E3=0),"",ABS(F3-E3)/E3)</x:f>
      </x:c>
      <x:c r="H3" t="str">
        <x:f>IF(G3="","",IF(G3&lt;=0.25,"PASS","FAIL"))</x:f>
      </x:c>
      <x:c r="I3"/>
      <x:c r="J3"/>
      <x:c r="K3"/>
      <x:c r="L3" s="10" t="str">
        <x:f>IF(OR(J3="",K3="",J3=0),"",ABS(K3-J3)/J3)</x:f>
      </x:c>
      <x:c r="M3" t="str">
        <x:f>IF(L3="","",IF(L3&lt;=0.25,"PASS","FAIL"))</x:f>
      </x:c>
      <x:c r="N3"/>
      <x:c r="O3"/>
    </x:row>
    <x:row r="4">
      <x:c r="A4" t="n">
        <x:v>3</x:v>
      </x:c>
      <x:c r="B4"/>
      <x:c r="C4"/>
      <x:c r="D4"/>
      <x:c r="E4"/>
      <x:c r="F4"/>
      <x:c r="G4" s="10" t="str">
        <x:f>IF(OR(E4="",F4="",E4=0),"",ABS(F4-E4)/E4)</x:f>
      </x:c>
      <x:c r="H4" t="str">
        <x:f>IF(G4="","",IF(G4&lt;=0.25,"PASS","FAIL"))</x:f>
      </x:c>
      <x:c r="I4"/>
      <x:c r="J4"/>
      <x:c r="K4"/>
      <x:c r="L4" s="10" t="str">
        <x:f>IF(OR(J4="",K4="",J4=0),"",ABS(K4-J4)/J4)</x:f>
      </x:c>
      <x:c r="M4" t="str">
        <x:f>IF(L4="","",IF(L4&lt;=0.25,"PASS","FAIL"))</x:f>
      </x:c>
      <x:c r="N4"/>
      <x:c r="O4"/>
    </x:row>
    <x:row r="5">
      <x:c r="A5" t="n">
        <x:v>4</x:v>
      </x:c>
      <x:c r="B5"/>
      <x:c r="C5"/>
      <x:c r="D5"/>
      <x:c r="E5"/>
      <x:c r="F5"/>
      <x:c r="G5" s="10" t="str">
        <x:f>IF(OR(E5="",F5="",E5=0),"",ABS(F5-E5)/E5)</x:f>
      </x:c>
      <x:c r="H5" t="str">
        <x:f>IF(G5="","",IF(G5&lt;=0.25,"PASS","FAIL"))</x:f>
      </x:c>
      <x:c r="I5"/>
      <x:c r="J5"/>
      <x:c r="K5"/>
      <x:c r="L5" s="10" t="str">
        <x:f>IF(OR(J5="",K5="",J5=0),"",ABS(K5-J5)/J5)</x:f>
      </x:c>
      <x:c r="M5" t="str">
        <x:f>IF(L5="","",IF(L5&lt;=0.25,"PASS","FAIL"))</x:f>
      </x:c>
      <x:c r="N5"/>
      <x:c r="O5"/>
    </x:row>
    <x:row r="6">
      <x:c r="A6" t="n">
        <x:v>5</x:v>
      </x:c>
      <x:c r="B6"/>
      <x:c r="C6"/>
      <x:c r="D6"/>
      <x:c r="E6"/>
      <x:c r="F6"/>
      <x:c r="G6" s="10" t="str">
        <x:f>IF(OR(E6="",F6="",E6=0),"",ABS(F6-E6)/E6)</x:f>
      </x:c>
      <x:c r="H6" t="str">
        <x:f>IF(G6="","",IF(G6&lt;=0.25,"PASS","FAIL"))</x:f>
      </x:c>
      <x:c r="I6"/>
      <x:c r="J6"/>
      <x:c r="K6"/>
      <x:c r="L6" s="10" t="str">
        <x:f>IF(OR(J6="",K6="",J6=0),"",ABS(K6-J6)/J6)</x:f>
      </x:c>
      <x:c r="M6" t="str">
        <x:f>IF(L6="","",IF(L6&lt;=0.25,"PASS","FAIL"))</x:f>
      </x:c>
      <x:c r="N6"/>
      <x:c r="O6"/>
    </x:row>
    <x:row r="7">
      <x:c r="A7" t="n">
        <x:v>6</x:v>
      </x:c>
      <x:c r="B7"/>
      <x:c r="C7"/>
      <x:c r="D7"/>
      <x:c r="E7"/>
      <x:c r="F7"/>
      <x:c r="G7" s="10" t="str">
        <x:f>IF(OR(E7="",F7="",E7=0),"",ABS(F7-E7)/E7)</x:f>
      </x:c>
      <x:c r="H7" t="str">
        <x:f>IF(G7="","",IF(G7&lt;=0.25,"PASS","FAIL"))</x:f>
      </x:c>
      <x:c r="I7"/>
      <x:c r="J7"/>
      <x:c r="K7"/>
      <x:c r="L7" s="10" t="str">
        <x:f>IF(OR(J7="",K7="",J7=0),"",ABS(K7-J7)/J7)</x:f>
      </x:c>
      <x:c r="M7" t="str">
        <x:f>IF(L7="","",IF(L7&lt;=0.25,"PASS","FAIL"))</x:f>
      </x:c>
      <x:c r="N7"/>
      <x:c r="O7"/>
    </x:row>
    <x:row r="8">
      <x:c r="A8" t="n">
        <x:v>7</x:v>
      </x:c>
      <x:c r="B8"/>
      <x:c r="C8"/>
      <x:c r="D8"/>
      <x:c r="E8"/>
      <x:c r="F8"/>
      <x:c r="G8" s="10" t="str">
        <x:f>IF(OR(E8="",F8="",E8=0),"",ABS(F8-E8)/E8)</x:f>
      </x:c>
      <x:c r="H8" t="str">
        <x:f>IF(G8="","",IF(G8&lt;=0.25,"PASS","FAIL"))</x:f>
      </x:c>
      <x:c r="I8"/>
      <x:c r="J8"/>
      <x:c r="K8"/>
      <x:c r="L8" s="10" t="str">
        <x:f>IF(OR(J8="",K8="",J8=0),"",ABS(K8-J8)/J8)</x:f>
      </x:c>
      <x:c r="M8" t="str">
        <x:f>IF(L8="","",IF(L8&lt;=0.25,"PASS","FAIL"))</x:f>
      </x:c>
      <x:c r="N8"/>
      <x:c r="O8"/>
    </x:row>
    <x:row r="9">
      <x:c r="A9" t="n">
        <x:v>8</x:v>
      </x:c>
      <x:c r="B9"/>
      <x:c r="C9"/>
      <x:c r="D9"/>
      <x:c r="E9"/>
      <x:c r="F9"/>
      <x:c r="G9" s="10" t="str">
        <x:f>IF(OR(E9="",F9="",E9=0),"",ABS(F9-E9)/E9)</x:f>
      </x:c>
      <x:c r="H9" t="str">
        <x:f>IF(G9="","",IF(G9&lt;=0.25,"PASS","FAIL"))</x:f>
      </x:c>
      <x:c r="I9"/>
      <x:c r="J9"/>
      <x:c r="K9"/>
      <x:c r="L9" s="10" t="str">
        <x:f>IF(OR(J9="",K9="",J9=0),"",ABS(K9-J9)/J9)</x:f>
      </x:c>
      <x:c r="M9" t="str">
        <x:f>IF(L9="","",IF(L9&lt;=0.25,"PASS","FAIL"))</x:f>
      </x:c>
      <x:c r="N9"/>
      <x:c r="O9"/>
    </x:row>
    <x:row r="10">
      <x:c r="A10" t="n">
        <x:v>9</x:v>
      </x:c>
      <x:c r="B10"/>
      <x:c r="C10"/>
      <x:c r="D10"/>
      <x:c r="E10"/>
      <x:c r="F10"/>
      <x:c r="G10" s="10" t="str">
        <x:f>IF(OR(E10="",F10="",E10=0),"",ABS(F10-E10)/E10)</x:f>
      </x:c>
      <x:c r="H10" t="str">
        <x:f>IF(G10="","",IF(G10&lt;=0.25,"PASS","FAIL"))</x:f>
      </x:c>
      <x:c r="I10"/>
      <x:c r="J10"/>
      <x:c r="K10"/>
      <x:c r="L10" s="10" t="str">
        <x:f>IF(OR(J10="",K10="",J10=0),"",ABS(K10-J10)/J10)</x:f>
      </x:c>
      <x:c r="M10" t="str">
        <x:f>IF(L10="","",IF(L10&lt;=0.25,"PASS","FAIL"))</x:f>
      </x:c>
      <x:c r="N10"/>
      <x:c r="O10"/>
    </x:row>
    <x:row r="11">
      <x:c r="A11" t="n">
        <x:v>10</x:v>
      </x:c>
      <x:c r="B11"/>
      <x:c r="C11"/>
      <x:c r="D11"/>
      <x:c r="E11"/>
      <x:c r="F11"/>
      <x:c r="G11" s="10" t="str">
        <x:f>IF(OR(E11="",F11="",E11=0),"",ABS(F11-E11)/E11)</x:f>
      </x:c>
      <x:c r="H11" t="str">
        <x:f>IF(G11="","",IF(G11&lt;=0.25,"PASS","FAIL"))</x:f>
      </x:c>
      <x:c r="I11"/>
      <x:c r="J11"/>
      <x:c r="K11"/>
      <x:c r="L11" s="10" t="str">
        <x:f>IF(OR(J11="",K11="",J11=0),"",ABS(K11-J11)/J11)</x:f>
      </x:c>
      <x:c r="M11" t="str">
        <x:f>IF(L11="","",IF(L11&lt;=0.25,"PASS","FAIL"))</x:f>
      </x:c>
      <x:c r="N11"/>
      <x:c r="O11"/>
    </x:row>
    <x:row r="12">
      <x:c r="A12" t="n">
        <x:v>11</x:v>
      </x:c>
      <x:c r="B12"/>
      <x:c r="C12"/>
      <x:c r="D12"/>
      <x:c r="E12"/>
      <x:c r="F12"/>
      <x:c r="G12" s="10" t="str">
        <x:f>IF(OR(E12="",F12="",E12=0),"",ABS(F12-E12)/E12)</x:f>
      </x:c>
      <x:c r="H12" t="str">
        <x:f>IF(G12="","",IF(G12&lt;=0.25,"PASS","FAIL"))</x:f>
      </x:c>
      <x:c r="I12"/>
      <x:c r="J12"/>
      <x:c r="K12"/>
      <x:c r="L12" s="10" t="str">
        <x:f>IF(OR(J12="",K12="",J12=0),"",ABS(K12-J12)/J12)</x:f>
      </x:c>
      <x:c r="M12" t="str">
        <x:f>IF(L12="","",IF(L12&lt;=0.25,"PASS","FAIL"))</x:f>
      </x:c>
      <x:c r="N12"/>
      <x:c r="O12"/>
    </x:row>
    <x:row r="13">
      <x:c r="A13" t="n">
        <x:v>12</x:v>
      </x:c>
      <x:c r="B13"/>
      <x:c r="C13"/>
      <x:c r="D13"/>
      <x:c r="E13"/>
      <x:c r="F13"/>
      <x:c r="G13" s="10" t="str">
        <x:f>IF(OR(E13="",F13="",E13=0),"",ABS(F13-E13)/E13)</x:f>
      </x:c>
      <x:c r="H13" t="str">
        <x:f>IF(G13="","",IF(G13&lt;=0.25,"PASS","FAIL"))</x:f>
      </x:c>
      <x:c r="I13"/>
      <x:c r="J13"/>
      <x:c r="K13"/>
      <x:c r="L13" s="10" t="str">
        <x:f>IF(OR(J13="",K13="",J13=0),"",ABS(K13-J13)/J13)</x:f>
      </x:c>
      <x:c r="M13" t="str">
        <x:f>IF(L13="","",IF(L13&lt;=0.25,"PASS","FAIL"))</x:f>
      </x:c>
      <x:c r="N13"/>
      <x:c r="O13"/>
    </x:row>
    <x:row r="14">
      <x:c r="A14" t="n">
        <x:v>13</x:v>
      </x:c>
      <x:c r="B14"/>
      <x:c r="C14"/>
      <x:c r="D14"/>
      <x:c r="E14"/>
      <x:c r="F14"/>
      <x:c r="G14" s="10" t="str">
        <x:f>IF(OR(E14="",F14="",E14=0),"",ABS(F14-E14)/E14)</x:f>
      </x:c>
      <x:c r="H14" t="str">
        <x:f>IF(G14="","",IF(G14&lt;=0.25,"PASS","FAIL"))</x:f>
      </x:c>
      <x:c r="I14"/>
      <x:c r="J14"/>
      <x:c r="K14"/>
      <x:c r="L14" s="10" t="str">
        <x:f>IF(OR(J14="",K14="",J14=0),"",ABS(K14-J14)/J14)</x:f>
      </x:c>
      <x:c r="M14" t="str">
        <x:f>IF(L14="","",IF(L14&lt;=0.25,"PASS","FAIL"))</x:f>
      </x:c>
      <x:c r="N14"/>
      <x:c r="O14"/>
    </x:row>
    <x:row r="15">
      <x:c r="A15" t="n">
        <x:v>14</x:v>
      </x:c>
      <x:c r="B15"/>
      <x:c r="C15"/>
      <x:c r="D15"/>
      <x:c r="E15"/>
      <x:c r="F15"/>
      <x:c r="G15" s="10" t="str">
        <x:f>IF(OR(E15="",F15="",E15=0),"",ABS(F15-E15)/E15)</x:f>
      </x:c>
      <x:c r="H15" t="str">
        <x:f>IF(G15="","",IF(G15&lt;=0.25,"PASS","FAIL"))</x:f>
      </x:c>
      <x:c r="I15"/>
      <x:c r="J15"/>
      <x:c r="K15"/>
      <x:c r="L15" s="10" t="str">
        <x:f>IF(OR(J15="",K15="",J15=0),"",ABS(K15-J15)/J15)</x:f>
      </x:c>
      <x:c r="M15" t="str">
        <x:f>IF(L15="","",IF(L15&lt;=0.25,"PASS","FAIL"))</x:f>
      </x:c>
      <x:c r="N15"/>
      <x:c r="O15"/>
    </x:row>
    <x:row r="16">
      <x:c r="A16" t="n">
        <x:v>15</x:v>
      </x:c>
      <x:c r="B16"/>
      <x:c r="C16"/>
      <x:c r="D16"/>
      <x:c r="E16"/>
      <x:c r="F16"/>
      <x:c r="G16" s="10" t="str">
        <x:f>IF(OR(E16="",F16="",E16=0),"",ABS(F16-E16)/E16)</x:f>
      </x:c>
      <x:c r="H16" t="str">
        <x:f>IF(G16="","",IF(G16&lt;=0.25,"PASS","FAIL"))</x:f>
      </x:c>
      <x:c r="I16"/>
      <x:c r="J16"/>
      <x:c r="K16"/>
      <x:c r="L16" s="10" t="str">
        <x:f>IF(OR(J16="",K16="",J16=0),"",ABS(K16-J16)/J16)</x:f>
      </x:c>
      <x:c r="M16" t="str">
        <x:f>IF(L16="","",IF(L16&lt;=0.25,"PASS","FAIL"))</x:f>
      </x:c>
      <x:c r="N16"/>
      <x:c r="O1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30" hidden="0" customWidth="1"/>
    <x:col min="4" max="4" width="32" hidden="0" customWidth="1"/>
    <x:col min="5" max="5" width="18" hidden="0" customWidth="1"/>
    <x:col min="6" max="6" width="22" hidden="0" customWidth="1"/>
    <x:col min="7" max="7" width="22" hidden="0" customWidth="1"/>
    <x:col min="8" max="8" width="30" hidden="0" customWidth="1"/>
    <x:col min="9" max="9" width="38" hidden="0" customWidth="1"/>
    <x:col min="10" max="10" width="24" hidden="0" customWidth="1"/>
  </x:cols>
  <x:sheetData>
    <x:row r="1" ht="31" customHeight="1">
      <x:c r="A1" s="5" t="str">
        <x:v>GT #</x:v>
      </x:c>
      <x:c r="B1" s="5" t="str">
        <x:v>True category</x:v>
      </x:c>
      <x:c r="C1" s="5" t="str">
        <x:v>Description</x:v>
      </x:c>
      <x:c r="D1" s="5" t="str">
        <x:v>Evidence</x:v>
      </x:c>
      <x:c r="E1" s="5" t="str">
        <x:v>Detected Y/N</x:v>
      </x:c>
      <x:c r="F1" s="5" t="str">
        <x:v>Predicted category</x:v>
      </x:c>
      <x:c r="G1" s="5" t="str">
        <x:v>Correct category Y/N</x:v>
      </x:c>
      <x:c r="H1" s="5" t="str">
        <x:v>Predicted brand/model</x:v>
      </x:c>
      <x:c r="I1" s="5" t="str">
        <x:v>Price source URL</x:v>
      </x:c>
      <x:c r="J1" s="5" t="str">
        <x:v>Notes</x:v>
      </x:c>
    </x:row>
    <x:row r="2">
      <x:c r="A2" t="n">
        <x:v>1</x:v>
      </x:c>
      <x:c r="B2"/>
      <x:c r="C2"/>
      <x:c r="D2"/>
      <x:c r="E2"/>
      <x:c r="F2"/>
      <x:c r="G2"/>
      <x:c r="H2"/>
      <x:c r="I2"/>
      <x:c r="J2"/>
    </x:row>
    <x:row r="3">
      <x:c r="A3" t="n">
        <x:v>2</x:v>
      </x:c>
      <x:c r="B3"/>
      <x:c r="C3"/>
      <x:c r="D3"/>
      <x:c r="E3"/>
      <x:c r="F3"/>
      <x:c r="G3"/>
      <x:c r="H3"/>
      <x:c r="I3"/>
      <x:c r="J3"/>
    </x:row>
    <x:row r="4">
      <x:c r="A4" t="n">
        <x:v>3</x:v>
      </x:c>
      <x:c r="B4"/>
      <x:c r="C4"/>
      <x:c r="D4"/>
      <x:c r="E4"/>
      <x:c r="F4"/>
      <x:c r="G4"/>
      <x:c r="H4"/>
      <x:c r="I4"/>
      <x:c r="J4"/>
    </x:row>
    <x:row r="5">
      <x:c r="A5" t="n">
        <x:v>4</x:v>
      </x:c>
      <x:c r="B5"/>
      <x:c r="C5"/>
      <x:c r="D5"/>
      <x:c r="E5"/>
      <x:c r="F5"/>
      <x:c r="G5"/>
      <x:c r="H5"/>
      <x:c r="I5"/>
      <x:c r="J5"/>
    </x:row>
    <x:row r="6">
      <x:c r="A6" t="n">
        <x:v>5</x:v>
      </x:c>
      <x:c r="B6"/>
      <x:c r="C6"/>
      <x:c r="D6"/>
      <x:c r="E6"/>
      <x:c r="F6"/>
      <x:c r="G6"/>
      <x:c r="H6"/>
      <x:c r="I6"/>
      <x:c r="J6"/>
    </x:row>
    <x:row r="7">
      <x:c r="A7" t="n">
        <x:v>6</x:v>
      </x:c>
      <x:c r="B7"/>
      <x:c r="C7"/>
      <x:c r="D7"/>
      <x:c r="E7"/>
      <x:c r="F7"/>
      <x:c r="G7"/>
      <x:c r="H7"/>
      <x:c r="I7"/>
      <x:c r="J7"/>
    </x:row>
    <x:row r="8">
      <x:c r="A8" t="n">
        <x:v>7</x:v>
      </x:c>
      <x:c r="B8"/>
      <x:c r="C8"/>
      <x:c r="D8"/>
      <x:c r="E8"/>
      <x:c r="F8"/>
      <x:c r="G8"/>
      <x:c r="H8"/>
      <x:c r="I8"/>
      <x:c r="J8"/>
    </x:row>
    <x:row r="9">
      <x:c r="A9" t="n">
        <x:v>8</x:v>
      </x:c>
      <x:c r="B9"/>
      <x:c r="C9"/>
      <x:c r="D9"/>
      <x:c r="E9"/>
      <x:c r="F9"/>
      <x:c r="G9"/>
      <x:c r="H9"/>
      <x:c r="I9"/>
      <x:c r="J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2" hidden="0" customWidth="1"/>
    <x:col min="7" max="7" width="17" hidden="0" customWidth="1"/>
    <x:col min="8" max="8" width="22" hidden="0" customWidth="1"/>
    <x:col min="9" max="9" width="17" hidden="0" customWidth="1"/>
    <x:col min="10" max="10" width="22" hidden="0" customWidth="1"/>
    <x:col min="11" max="11" width="34" hidden="0" customWidth="1"/>
    <x:col min="12" max="12" width="35" hidden="0" customWidth="1"/>
  </x:cols>
  <x:sheetData>
    <x:row r="1" ht="31" customHeight="1">
      <x:c r="A1" s="5" t="str">
        <x:v>Actual length m</x:v>
      </x:c>
      <x:c r="B1" s="5" t="str">
        <x:v>Actual width m</x:v>
      </x:c>
      <x:c r="C1" s="5" t="str">
        <x:v>Actual height m</x:v>
      </x:c>
      <x:c r="D1" s="5" t="str">
        <x:v>True floor m2</x:v>
      </x:c>
      <x:c r="E1" s="5" t="str">
        <x:v>True wall m2</x:v>
      </x:c>
      <x:c r="F1" s="5" t="str">
        <x:v>Predicted floor m2</x:v>
      </x:c>
      <x:c r="G1" s="5" t="str">
        <x:v>Floor error %</x:v>
      </x:c>
      <x:c r="H1" s="5" t="str">
        <x:v>Predicted wall m2</x:v>
      </x:c>
      <x:c r="I1" s="5" t="str">
        <x:v>Wall error %</x:v>
      </x:c>
      <x:c r="J1" s="5" t="str">
        <x:v>Measured shape</x:v>
      </x:c>
      <x:c r="K1" s="5" t="str">
        <x:v>Scale method</x:v>
      </x:c>
      <x:c r="L1" s="5" t="str">
        <x:v>Ground-truth evidence</x:v>
      </x:c>
    </x:row>
    <x:row r="2">
      <x:c r="A2"/>
      <x:c r="B2"/>
      <x:c r="C2"/>
      <x:c r="D2" t="str">
        <x:f>IF(OR(A2="",B2=""),"",A2*B2)</x:f>
      </x:c>
      <x:c r="E2" t="str">
        <x:f>IF(OR(A2="",B2="",C2=""),"",2*C2*(A2+B2))</x:f>
      </x:c>
      <x:c r="F2"/>
      <x:c r="G2" s="10" t="str">
        <x:f>IF(OR(D2="",F2="",D2=0),"",ABS(F2-D2)/D2)</x:f>
      </x:c>
      <x:c r="H2"/>
      <x:c r="I2" s="10" t="str">
        <x:f>IF(OR(E2="",H2="",E2=0),"",ABS(H2-E2)/E2)</x:f>
      </x:c>
      <x:c r="J2"/>
      <x:c r="K2"/>
      <x:c r="L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14" hidden="0" customWidth="1"/>
    <x:col min="4" max="4" width="14" hidden="0" customWidth="1"/>
    <x:col min="5" max="5" width="20" hidden="0" customWidth="1"/>
    <x:col min="6" max="6" width="38" hidden="0" customWidth="1"/>
    <x:col min="7" max="7" width="14" hidden="0" customWidth="1"/>
    <x:col min="8" max="8" width="14" hidden="0" customWidth="1"/>
    <x:col min="9" max="9" width="20" hidden="0" customWidth="1"/>
    <x:col min="10" max="10" width="38" hidden="0" customWidth="1"/>
    <x:col min="11" max="11" width="16" hidden="0" customWidth="1"/>
    <x:col min="12" max="12" width="24" hidden="0" customWidth="1"/>
    <x:col min="13" max="13" width="28" hidden="0" customWidth="1"/>
  </x:cols>
  <x:sheetData>
    <x:row r="1" ht="31" customHeight="1">
      <x:c r="A1" s="5" t="str">
        <x:v>Book #</x:v>
      </x:c>
      <x:c r="B1" s="5" t="str">
        <x:v>ISBN / verified edition</x:v>
      </x:c>
      <x:c r="C1" s="5" t="str">
        <x:v>Market A</x:v>
      </x:c>
      <x:c r="D1" s="5" t="str">
        <x:v>Currency A</x:v>
      </x:c>
      <x:c r="E1" s="5" t="str">
        <x:v>Market A price</x:v>
      </x:c>
      <x:c r="F1" s="5" t="str">
        <x:v>Market A source URL</x:v>
      </x:c>
      <x:c r="G1" s="5" t="str">
        <x:v>Market B</x:v>
      </x:c>
      <x:c r="H1" s="5" t="str">
        <x:v>Currency B</x:v>
      </x:c>
      <x:c r="I1" s="5" t="str">
        <x:v>Market B price</x:v>
      </x:c>
      <x:c r="J1" s="5" t="str">
        <x:v>Market B source URL</x:v>
      </x:c>
      <x:c r="K1" s="5" t="str">
        <x:v>FX applied?</x:v>
      </x:c>
      <x:c r="L1" s="5" t="str">
        <x:v>FX rate/source</x:v>
      </x:c>
      <x:c r="M1" s="5" t="str">
        <x:v>Market differences</x:v>
      </x:c>
    </x:row>
    <x:row r="2">
      <x:c r="A2" t="n">
        <x:v>1</x:v>
      </x:c>
      <x:c r="B2"/>
      <x:c r="C2"/>
      <x:c r="D2"/>
      <x:c r="E2"/>
      <x:c r="F2"/>
      <x:c r="G2"/>
      <x:c r="H2"/>
      <x:c r="I2"/>
      <x:c r="J2"/>
      <x:c r="K2"/>
      <x:c r="L2"/>
      <x:c r="M2"/>
    </x:row>
    <x:row r="3">
      <x:c r="A3" t="n">
        <x:v>2</x:v>
      </x:c>
      <x:c r="B3"/>
      <x:c r="C3"/>
      <x:c r="D3"/>
      <x:c r="E3"/>
      <x:c r="F3"/>
      <x:c r="G3"/>
      <x:c r="H3"/>
      <x:c r="I3"/>
      <x:c r="J3"/>
      <x:c r="K3"/>
      <x:c r="L3"/>
      <x:c r="M3"/>
    </x:row>
    <x:row r="4">
      <x:c r="A4" t="n">
        <x:v>3</x:v>
      </x:c>
      <x:c r="B4"/>
      <x:c r="C4"/>
      <x:c r="D4"/>
      <x:c r="E4"/>
      <x:c r="F4"/>
      <x:c r="G4"/>
      <x:c r="H4"/>
      <x:c r="I4"/>
      <x:c r="J4"/>
      <x:c r="K4"/>
      <x:c r="L4"/>
      <x:c r="M4"/>
    </x:row>
    <x:row r="5">
      <x:c r="A5" t="n">
        <x:v>4</x:v>
      </x:c>
      <x:c r="B5"/>
      <x:c r="C5"/>
      <x:c r="D5"/>
      <x:c r="E5"/>
      <x:c r="F5"/>
      <x:c r="G5"/>
      <x:c r="H5"/>
      <x:c r="I5"/>
      <x:c r="J5"/>
      <x:c r="K5"/>
      <x:c r="L5"/>
      <x:c r="M5"/>
    </x:row>
    <x:row r="6">
      <x:c r="A6" t="n">
        <x:v>5</x:v>
      </x:c>
      <x:c r="B6"/>
      <x:c r="C6"/>
      <x:c r="D6"/>
      <x:c r="E6"/>
      <x:c r="F6"/>
      <x:c r="G6"/>
      <x:c r="H6"/>
      <x:c r="I6"/>
      <x:c r="J6"/>
      <x:c r="K6"/>
      <x:c r="L6"/>
      <x:c r="M6"/>
    </x:row>
    <x:row r="7">
      <x:c r="A7" t="n">
        <x:v>6</x:v>
      </x:c>
      <x:c r="B7"/>
      <x:c r="C7"/>
      <x:c r="D7"/>
      <x:c r="E7"/>
      <x:c r="F7"/>
      <x:c r="G7"/>
      <x:c r="H7"/>
      <x:c r="I7"/>
      <x:c r="J7"/>
      <x:c r="K7"/>
      <x:c r="L7"/>
      <x:c r="M7"/>
    </x:row>
    <x:row r="8">
      <x:c r="A8" t="n">
        <x:v>7</x:v>
      </x:c>
      <x:c r="B8"/>
      <x:c r="C8"/>
      <x:c r="D8"/>
      <x:c r="E8"/>
      <x:c r="F8"/>
      <x:c r="G8"/>
      <x:c r="H8"/>
      <x:c r="I8"/>
      <x:c r="J8"/>
      <x:c r="K8"/>
      <x:c r="L8"/>
      <x:c r="M8"/>
    </x:row>
    <x:row r="9">
      <x:c r="A9" t="n">
        <x:v>8</x:v>
      </x:c>
      <x:c r="B9"/>
      <x:c r="C9"/>
      <x:c r="D9"/>
      <x:c r="E9"/>
      <x:c r="F9"/>
      <x:c r="G9"/>
      <x:c r="H9"/>
      <x:c r="I9"/>
      <x:c r="J9"/>
      <x:c r="K9"/>
      <x:c r="L9"/>
      <x:c r="M9"/>
    </x:row>
    <x:row r="10">
      <x:c r="A10" t="n">
        <x:v>9</x:v>
      </x:c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>
      <x:c r="A11" t="n">
        <x:v>10</x:v>
      </x:c>
      <x:c r="B11"/>
      <x:c r="C11"/>
      <x:c r="D11"/>
      <x:c r="E11"/>
      <x:c r="F11"/>
      <x:c r="G11"/>
      <x:c r="H11"/>
      <x:c r="I11"/>
      <x:c r="J11"/>
      <x:c r="K11"/>
      <x:c r="L11"/>
      <x:c r="M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95" hidden="0" customWidth="1"/>
    <x:col min="3" max="3" width="18" hidden="0" customWidth="1"/>
  </x:cols>
  <x:sheetData>
    <x:row r="1" ht="31" customHeight="1">
      <x:c r="A1" s="5" t="str">
        <x:v>Step</x:v>
      </x:c>
      <x:c r="B1" s="5" t="str">
        <x:v>Required action / instruction</x:v>
      </x:c>
      <x:c r="C1" s="5" t="str">
        <x:v>Status</x:v>
      </x:c>
    </x:row>
    <x:row r="2">
      <x:c r="A2" t="n">
        <x:v>1</x:v>
      </x:c>
      <x:c r="B2" t="str">
        <x:v>Collect written permission and real unedited room video</x:v>
      </x:c>
      <x:c r="C2" t="str">
        <x:v>OUTSTANDING</x:v>
      </x:c>
    </x:row>
    <x:row r="3">
      <x:c r="A3" t="n">
        <x:v>2</x:v>
      </x:c>
      <x:c r="B3" t="str">
        <x:v>Hand-count at least 60 books across 2 shelving units independently</x:v>
      </x:c>
      <x:c r="C3" t="str">
        <x:v>OUTSTANDING</x:v>
      </x:c>
    </x:row>
    <x:row r="4">
      <x:c r="A4" t="n">
        <x:v>3</x:v>
      </x:c>
      <x:c r="B4" t="str">
        <x:v>Record every human-legible title; retain unreadable, glare and stacked cases</x:v>
      </x:c>
      <x:c r="C4" t="str">
        <x:v>OUTSTANDING</x:v>
      </x:c>
    </x:row>
    <x:row r="5">
      <x:c r="A5" t="n">
        <x:v>4</x:v>
      </x:c>
      <x:c r="B5" t="str">
        <x:v>Tape-measure 20 spines, both height and thickness</x:v>
      </x:c>
      <x:c r="C5" t="str">
        <x:v>OUTSTANDING</x:v>
      </x:c>
    </x:row>
    <x:row r="6">
      <x:c r="A6" t="n">
        <x:v>5</x:v>
      </x:c>
      <x:c r="B6" t="str">
        <x:v>Independently verify 15 book prices with dated links</x:v>
      </x:c>
      <x:c r="C6" t="str">
        <x:v>OUTSTANDING</x:v>
      </x:c>
    </x:row>
    <x:row r="7">
      <x:c r="A7" t="n">
        <x:v>6</x:v>
      </x:c>
      <x:c r="B7" t="str">
        <x:v>Verify at least 8 non-book objects and categories</x:v>
      </x:c>
      <x:c r="C7" t="str">
        <x:v>OUTSTANDING</x:v>
      </x:c>
    </x:row>
    <x:row r="8">
      <x:c r="A8" t="n">
        <x:v>7</x:v>
      </x:c>
      <x:c r="B8" t="str">
        <x:v>Tape-measure room length, width and ceiling height</x:v>
      </x:c>
      <x:c r="C8" t="str">
        <x:v>OUTSTANDING</x:v>
      </x:c>
    </x:row>
    <x:row r="9">
      <x:c r="A9" t="n">
        <x:v>8</x:v>
      </x:c>
      <x:c r="B9" t="str">
        <x:v>Collect 10 same-edition price pairs in a second country</x:v>
      </x:c>
      <x:c r="C9" t="str">
        <x:v>OUTSTANDING</x:v>
      </x:c>
    </x:row>
    <x:row r="10">
      <x:c r="A10" t="n">
        <x:v>9</x:v>
      </x:c>
      <x:c r="B10" t="str">
        <x:v>Run the system on that full room and record predictions without cherry-picking</x:v>
      </x:c>
      <x:c r="C10" t="str">
        <x:v>OUTSTANDING</x:v>
      </x:c>
    </x:row>
    <x:row r="11">
      <x:c r="A11" t="n">
        <x:v>10</x:v>
      </x:c>
      <x:c r="B11" t="str">
        <x:v>Calculate denominators, metrics, latency, top failures and measured fixes</x:v>
      </x:c>
      <x:c r="C11" t="str">
        <x:v>OUTSTANDING</x:v>
      </x:c>
    </x:row>
  </x:sheetData>
  <x:pageMargins left="0.7" right="0.7" top="0.75" bottom="0.75" header="0.3" footer="0.3"/>
</x:worksheet>
</file>